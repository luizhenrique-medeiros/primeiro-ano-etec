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S\"/>
    </mc:Choice>
  </mc:AlternateContent>
  <xr:revisionPtr revIDLastSave="0" documentId="13_ncr:1_{C856C858-B08A-43EE-962B-2A91834A9186}" xr6:coauthVersionLast="36" xr6:coauthVersionMax="36" xr10:uidLastSave="{00000000-0000-0000-0000-000000000000}"/>
  <bookViews>
    <workbookView xWindow="480" yWindow="110" windowWidth="22990" windowHeight="10300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9" i="1"/>
  <c r="K31" i="1" l="1"/>
  <c r="K33" i="1" s="1"/>
</calcChain>
</file>

<file path=xl/sharedStrings.xml><?xml version="1.0" encoding="utf-8"?>
<sst xmlns="http://schemas.openxmlformats.org/spreadsheetml/2006/main" count="53" uniqueCount="49">
  <si>
    <t>Status</t>
  </si>
  <si>
    <t>Início</t>
  </si>
  <si>
    <t>Fim</t>
  </si>
  <si>
    <t>DESENVOLVIMENTO</t>
  </si>
  <si>
    <t>ESTUDO</t>
  </si>
  <si>
    <t>Reuniões</t>
  </si>
  <si>
    <t>Requisitos</t>
  </si>
  <si>
    <t>PLANEJAMENTO</t>
  </si>
  <si>
    <t>Cronograma</t>
  </si>
  <si>
    <t>Codificação</t>
  </si>
  <si>
    <t>Testes Unitários</t>
  </si>
  <si>
    <t>Testes Funcionais</t>
  </si>
  <si>
    <t>InfraEstrutura</t>
  </si>
  <si>
    <t>Aprovação Final</t>
  </si>
  <si>
    <t>Encerramento</t>
  </si>
  <si>
    <t>ATIVIDADE</t>
  </si>
  <si>
    <t>Resp.</t>
  </si>
  <si>
    <t>CRONOGRAMA</t>
  </si>
  <si>
    <t>Perfil</t>
  </si>
  <si>
    <t>ORÇAMENTO</t>
  </si>
  <si>
    <t>Valor hora</t>
  </si>
  <si>
    <t>Horas esforço</t>
  </si>
  <si>
    <t>Total</t>
  </si>
  <si>
    <t>TOTAL</t>
  </si>
  <si>
    <t>% de margem</t>
  </si>
  <si>
    <t>VALOR</t>
  </si>
  <si>
    <t>Analistas</t>
  </si>
  <si>
    <t>Programadores</t>
  </si>
  <si>
    <t>Técnicos</t>
  </si>
  <si>
    <t>Gerente de Projetos</t>
  </si>
  <si>
    <t>PERFIL</t>
  </si>
  <si>
    <t>Fluxo do Processo</t>
  </si>
  <si>
    <t>MER</t>
  </si>
  <si>
    <t>ENTREGA</t>
  </si>
  <si>
    <t>Data</t>
  </si>
  <si>
    <t>Cliente: Sérgio</t>
  </si>
  <si>
    <t>Projeto: Site da lanchonete</t>
  </si>
  <si>
    <t>Data Início: 21/03/2024</t>
  </si>
  <si>
    <t>Finalizada</t>
  </si>
  <si>
    <t>Rodrigo</t>
  </si>
  <si>
    <t>Luiz H</t>
  </si>
  <si>
    <t>Vitor</t>
  </si>
  <si>
    <t>A fazer</t>
  </si>
  <si>
    <t>Luiz H / Vitor</t>
  </si>
  <si>
    <t>Finalizado</t>
  </si>
  <si>
    <t>Rodrigo/ Lohan</t>
  </si>
  <si>
    <t>Sérgio</t>
  </si>
  <si>
    <t>Luiz  H/Rodrigo/Vitor/Lohan</t>
  </si>
  <si>
    <t>Vitor/Luiz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</si>
</sst>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/>
    <xf numFmtId="0" fontId="0" fillId="0" borderId="0" xfId="0" applyBorder="1"/>
    <xf numFmtId="0" fontId="0" fillId="0" borderId="0" xfId="0" applyBorder="1" applyAlignment="1"/>
    <xf numFmtId="0" fontId="0" fillId="0" borderId="7" xfId="0" applyBorder="1" applyAlignment="1"/>
    <xf numFmtId="0" fontId="2" fillId="3" borderId="0" xfId="1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/>
    <xf numFmtId="0" fontId="0" fillId="0" borderId="8" xfId="0" applyBorder="1"/>
    <xf numFmtId="0" fontId="3" fillId="0" borderId="8" xfId="0" applyFont="1" applyBorder="1"/>
    <xf numFmtId="0" fontId="0" fillId="0" borderId="8" xfId="0" applyFill="1" applyBorder="1"/>
    <xf numFmtId="0" fontId="3" fillId="0" borderId="8" xfId="0" applyFont="1" applyBorder="1" applyAlignment="1"/>
    <xf numFmtId="0" fontId="0" fillId="0" borderId="8" xfId="0" applyBorder="1" applyAlignment="1"/>
    <xf numFmtId="0" fontId="3" fillId="0" borderId="8" xfId="0" applyFont="1" applyFill="1" applyBorder="1"/>
    <xf numFmtId="0" fontId="0" fillId="0" borderId="7" xfId="0" applyBorder="1"/>
    <xf numFmtId="0" fontId="3" fillId="0" borderId="2" xfId="0" applyFont="1" applyBorder="1" applyAlignment="1"/>
    <xf numFmtId="0" fontId="3" fillId="0" borderId="3" xfId="0" applyFont="1" applyBorder="1"/>
    <xf numFmtId="0" fontId="3" fillId="0" borderId="1" xfId="0" applyFont="1" applyBorder="1" applyAlignment="1"/>
    <xf numFmtId="0" fontId="3" fillId="0" borderId="3" xfId="0" applyFont="1" applyBorder="1" applyAlignment="1"/>
    <xf numFmtId="0" fontId="4" fillId="3" borderId="0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0" fillId="0" borderId="7" xfId="0" applyFill="1" applyBorder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0" xfId="2" applyFont="1" applyBorder="1" applyAlignment="1">
      <alignment horizontal="center"/>
    </xf>
    <xf numFmtId="44" fontId="0" fillId="0" borderId="7" xfId="2" applyFon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2" xfId="2" applyFont="1" applyBorder="1" applyAlignment="1">
      <alignment horizontal="center"/>
    </xf>
    <xf numFmtId="44" fontId="0" fillId="0" borderId="0" xfId="2" applyFont="1" applyAlignment="1">
      <alignment horizontal="center"/>
    </xf>
    <xf numFmtId="44" fontId="0" fillId="0" borderId="1" xfId="2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/>
    </xf>
  </cellXfs>
  <cellStyles count="4">
    <cellStyle name="60% - Ênfase1" xfId="1" builtinId="32"/>
    <cellStyle name="Moeda" xfId="2" builtinId="4"/>
    <cellStyle name="Normal" xfId="0" builtinId="0"/>
    <cellStyle name="Porcentagem" xfId="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99CCFF"/>
      <color rgb="FF8FB4E1"/>
      <color rgb="FF087AE2"/>
      <color rgb="FF437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349250</xdr:colOff>
      <xdr:row>2</xdr:row>
      <xdr:rowOff>119064</xdr:rowOff>
    </xdr:from>
    <xdr:to>
      <xdr:col>5</xdr:col>
      <xdr:colOff>1376680</xdr:colOff>
      <xdr:row>6</xdr:row>
      <xdr:rowOff>81599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56250" y="309564"/>
          <a:ext cx="1027430" cy="708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0"/>
  <sheetViews>
    <sheetView showGridLines="0" tabSelected="1" topLeftCell="A22" zoomScaleNormal="100" workbookViewId="0">
      <selection activeCell="K38" sqref="K38"/>
    </sheetView>
  </sheetViews>
  <sheetFormatPr defaultRowHeight="14.5" x14ac:dyDescent="0.35"/>
  <cols>
    <col min="1" max="1" width="3.36328125" customWidth="1"/>
    <col min="2" max="2" width="31" bestFit="1" customWidth="1"/>
    <col min="3" max="4" width="11.36328125" customWidth="1"/>
    <col min="5" max="5" width="13.36328125" customWidth="1"/>
    <col min="6" max="6" width="21.90625" customWidth="1"/>
    <col min="7" max="7" width="4.90625" customWidth="1"/>
    <col min="8" max="8" width="17.36328125" customWidth="1"/>
    <col min="9" max="9" width="13" customWidth="1"/>
    <col min="10" max="10" width="16.453125" customWidth="1"/>
    <col min="11" max="11" width="14" customWidth="1"/>
  </cols>
  <sheetData>
    <row r="2" spans="1:11" ht="23.5" x14ac:dyDescent="0.55000000000000004">
      <c r="B2" s="25" t="s">
        <v>17</v>
      </c>
      <c r="H2" s="25" t="s">
        <v>19</v>
      </c>
    </row>
    <row r="3" spans="1:11" ht="14.25" customHeight="1" x14ac:dyDescent="0.35">
      <c r="A3" s="4"/>
      <c r="B3" s="4"/>
      <c r="C3" s="4"/>
      <c r="D3" s="4"/>
      <c r="E3" s="4"/>
      <c r="F3" s="4"/>
      <c r="G3" s="4"/>
      <c r="H3" s="4"/>
    </row>
    <row r="4" spans="1:11" ht="14.25" customHeight="1" x14ac:dyDescent="0.35">
      <c r="A4" s="4"/>
      <c r="B4" s="17" t="s">
        <v>36</v>
      </c>
      <c r="C4" s="18"/>
      <c r="D4" s="3"/>
      <c r="E4" s="2"/>
      <c r="F4" s="5"/>
      <c r="G4" s="5"/>
      <c r="H4" s="4"/>
    </row>
    <row r="5" spans="1:11" x14ac:dyDescent="0.35">
      <c r="A5" s="4"/>
      <c r="B5" s="17" t="s">
        <v>35</v>
      </c>
      <c r="C5" s="18"/>
      <c r="D5" s="3"/>
      <c r="E5" s="2"/>
      <c r="F5" s="5"/>
      <c r="G5" s="5"/>
      <c r="H5" s="4"/>
    </row>
    <row r="6" spans="1:11" x14ac:dyDescent="0.35">
      <c r="A6" s="4"/>
      <c r="B6" s="19" t="s">
        <v>37</v>
      </c>
      <c r="C6" s="20"/>
      <c r="D6" s="1"/>
      <c r="E6" s="2"/>
    </row>
    <row r="7" spans="1:11" x14ac:dyDescent="0.35">
      <c r="H7" s="50"/>
      <c r="I7" s="50"/>
      <c r="J7" s="50"/>
      <c r="K7" s="50"/>
    </row>
    <row r="8" spans="1:11" x14ac:dyDescent="0.35">
      <c r="B8" s="8"/>
      <c r="C8" s="53" t="s">
        <v>34</v>
      </c>
      <c r="D8" s="54"/>
      <c r="E8" s="21"/>
      <c r="F8" s="9"/>
      <c r="G8" s="7"/>
    </row>
    <row r="9" spans="1:11" x14ac:dyDescent="0.35">
      <c r="B9" s="22" t="s">
        <v>15</v>
      </c>
      <c r="C9" s="23" t="s">
        <v>1</v>
      </c>
      <c r="D9" s="23" t="s">
        <v>2</v>
      </c>
      <c r="E9" s="22" t="s">
        <v>16</v>
      </c>
      <c r="F9" s="22" t="s">
        <v>0</v>
      </c>
      <c r="G9" s="7"/>
      <c r="H9" s="32" t="s">
        <v>18</v>
      </c>
      <c r="I9" s="33" t="s">
        <v>20</v>
      </c>
      <c r="J9" s="34" t="s">
        <v>21</v>
      </c>
      <c r="K9" s="34" t="s">
        <v>22</v>
      </c>
    </row>
    <row r="10" spans="1:11" x14ac:dyDescent="0.35">
      <c r="B10" s="10"/>
      <c r="C10" s="10"/>
      <c r="D10" s="10"/>
      <c r="E10" s="47"/>
      <c r="F10" s="14"/>
      <c r="G10" s="5"/>
      <c r="H10" s="36"/>
      <c r="I10" s="37"/>
      <c r="J10" s="38"/>
      <c r="K10" s="39">
        <f t="shared" ref="K10:K29" si="0">I10*J10</f>
        <v>0</v>
      </c>
    </row>
    <row r="11" spans="1:11" x14ac:dyDescent="0.35">
      <c r="B11" s="11" t="s">
        <v>4</v>
      </c>
      <c r="C11" s="10"/>
      <c r="D11" s="10"/>
      <c r="E11" s="47"/>
      <c r="F11" s="14"/>
      <c r="G11" s="5"/>
      <c r="H11" s="36"/>
      <c r="I11" s="37"/>
      <c r="J11" s="38"/>
      <c r="K11" s="39">
        <f t="shared" si="0"/>
        <v>0</v>
      </c>
    </row>
    <row r="12" spans="1:11" x14ac:dyDescent="0.35">
      <c r="B12" s="10" t="s">
        <v>5</v>
      </c>
      <c r="C12" s="48">
        <v>45386</v>
      </c>
      <c r="D12" s="48">
        <v>45386</v>
      </c>
      <c r="E12" s="47" t="s">
        <v>47</v>
      </c>
      <c r="F12" s="47" t="s">
        <v>38</v>
      </c>
      <c r="G12" s="5"/>
      <c r="H12" s="36"/>
      <c r="I12" s="37"/>
      <c r="J12" s="38"/>
      <c r="K12" s="39">
        <f t="shared" si="0"/>
        <v>0</v>
      </c>
    </row>
    <row r="13" spans="1:11" x14ac:dyDescent="0.35">
      <c r="B13" s="12" t="s">
        <v>6</v>
      </c>
      <c r="C13" s="48">
        <v>45386</v>
      </c>
      <c r="D13" s="48">
        <v>45393</v>
      </c>
      <c r="E13" s="47" t="s">
        <v>48</v>
      </c>
      <c r="F13" s="14"/>
      <c r="G13" s="5"/>
      <c r="H13" s="36"/>
      <c r="I13" s="37"/>
      <c r="J13" s="38"/>
      <c r="K13" s="39">
        <f t="shared" si="0"/>
        <v>0</v>
      </c>
    </row>
    <row r="14" spans="1:11" x14ac:dyDescent="0.35">
      <c r="B14" s="16"/>
      <c r="C14" s="16"/>
      <c r="D14" s="16"/>
      <c r="E14" s="16"/>
      <c r="F14" s="6"/>
      <c r="G14" s="5"/>
      <c r="H14" s="35"/>
      <c r="I14" s="40"/>
      <c r="J14" s="41"/>
      <c r="K14" s="42">
        <f t="shared" si="0"/>
        <v>0</v>
      </c>
    </row>
    <row r="15" spans="1:11" x14ac:dyDescent="0.35">
      <c r="B15" s="13" t="s">
        <v>7</v>
      </c>
      <c r="C15" s="14"/>
      <c r="D15" s="14"/>
      <c r="E15" s="14"/>
      <c r="F15" s="14"/>
      <c r="G15" s="5"/>
      <c r="H15" s="36"/>
      <c r="I15" s="37"/>
      <c r="J15" s="38"/>
      <c r="K15" s="39">
        <f t="shared" si="0"/>
        <v>0</v>
      </c>
    </row>
    <row r="16" spans="1:11" x14ac:dyDescent="0.35">
      <c r="B16" s="14" t="s">
        <v>8</v>
      </c>
      <c r="C16" s="48">
        <v>45414</v>
      </c>
      <c r="D16" s="48">
        <v>45414</v>
      </c>
      <c r="E16" s="47" t="s">
        <v>39</v>
      </c>
      <c r="F16" s="14"/>
      <c r="G16" s="5"/>
      <c r="H16" s="36"/>
      <c r="I16" s="37"/>
      <c r="J16" s="38"/>
      <c r="K16" s="39">
        <f t="shared" si="0"/>
        <v>0</v>
      </c>
    </row>
    <row r="17" spans="2:11" x14ac:dyDescent="0.35">
      <c r="B17" s="14" t="s">
        <v>31</v>
      </c>
      <c r="C17" s="48">
        <v>45400</v>
      </c>
      <c r="D17" s="48">
        <v>45407</v>
      </c>
      <c r="E17" s="56" t="s">
        <v>43</v>
      </c>
      <c r="F17" s="47" t="s">
        <v>44</v>
      </c>
      <c r="G17" s="5"/>
      <c r="H17" s="36"/>
      <c r="I17" s="37"/>
      <c r="J17" s="38"/>
      <c r="K17" s="39">
        <f t="shared" si="0"/>
        <v>0</v>
      </c>
    </row>
    <row r="18" spans="2:11" x14ac:dyDescent="0.35">
      <c r="B18" s="14" t="s">
        <v>32</v>
      </c>
      <c r="C18" s="48">
        <v>45414</v>
      </c>
      <c r="D18" s="48">
        <v>45414</v>
      </c>
      <c r="E18" s="47" t="s">
        <v>43</v>
      </c>
      <c r="F18" s="14"/>
      <c r="G18" s="5"/>
      <c r="H18" s="36"/>
      <c r="I18" s="37"/>
      <c r="J18" s="38"/>
      <c r="K18" s="39">
        <f t="shared" si="0"/>
        <v>0</v>
      </c>
    </row>
    <row r="19" spans="2:11" x14ac:dyDescent="0.35">
      <c r="B19" s="6"/>
      <c r="C19" s="6"/>
      <c r="D19" s="6"/>
      <c r="E19" s="6"/>
      <c r="F19" s="6"/>
      <c r="G19" s="5"/>
      <c r="H19" s="35"/>
      <c r="I19" s="40"/>
      <c r="J19" s="41"/>
      <c r="K19" s="42">
        <f t="shared" si="0"/>
        <v>0</v>
      </c>
    </row>
    <row r="20" spans="2:11" x14ac:dyDescent="0.35">
      <c r="B20" s="13" t="s">
        <v>3</v>
      </c>
      <c r="C20" s="14"/>
      <c r="D20" s="14"/>
      <c r="F20" s="14"/>
      <c r="G20" s="5"/>
      <c r="H20" s="36"/>
      <c r="I20" s="37"/>
      <c r="J20" s="38"/>
      <c r="K20" s="39">
        <f t="shared" si="0"/>
        <v>0</v>
      </c>
    </row>
    <row r="21" spans="2:11" x14ac:dyDescent="0.35">
      <c r="B21" s="14" t="s">
        <v>9</v>
      </c>
      <c r="C21" s="49">
        <v>45416</v>
      </c>
      <c r="D21" s="49">
        <v>45430</v>
      </c>
      <c r="E21" s="47" t="s">
        <v>45</v>
      </c>
      <c r="F21" s="55" t="s">
        <v>42</v>
      </c>
      <c r="G21" s="5"/>
      <c r="H21" s="36"/>
      <c r="I21" s="37"/>
      <c r="J21" s="38"/>
      <c r="K21" s="39">
        <f t="shared" si="0"/>
        <v>0</v>
      </c>
    </row>
    <row r="22" spans="2:11" x14ac:dyDescent="0.35">
      <c r="B22" s="14" t="s">
        <v>10</v>
      </c>
      <c r="C22" s="49">
        <v>45430</v>
      </c>
      <c r="D22" s="49">
        <v>45430</v>
      </c>
      <c r="E22" s="47" t="s">
        <v>40</v>
      </c>
      <c r="F22" s="55"/>
      <c r="G22" s="5"/>
      <c r="H22" s="36"/>
      <c r="I22" s="37"/>
      <c r="J22" s="38"/>
      <c r="K22" s="39">
        <f t="shared" si="0"/>
        <v>0</v>
      </c>
    </row>
    <row r="23" spans="2:11" x14ac:dyDescent="0.35">
      <c r="B23" s="16"/>
      <c r="C23" s="16"/>
      <c r="D23" s="16"/>
      <c r="E23" s="16"/>
      <c r="F23" s="16"/>
      <c r="G23" s="4"/>
      <c r="H23" s="35"/>
      <c r="I23" s="40"/>
      <c r="J23" s="41"/>
      <c r="K23" s="42">
        <f t="shared" si="0"/>
        <v>0</v>
      </c>
    </row>
    <row r="24" spans="2:11" x14ac:dyDescent="0.35">
      <c r="B24" s="15" t="s">
        <v>33</v>
      </c>
      <c r="C24" s="10"/>
      <c r="D24" s="10"/>
      <c r="E24" s="10"/>
      <c r="F24" s="10"/>
      <c r="H24" s="36"/>
      <c r="I24" s="37"/>
      <c r="J24" s="38"/>
      <c r="K24" s="39">
        <f t="shared" si="0"/>
        <v>0</v>
      </c>
    </row>
    <row r="25" spans="2:11" x14ac:dyDescent="0.35">
      <c r="B25" s="12" t="s">
        <v>11</v>
      </c>
      <c r="C25" s="48">
        <v>45430</v>
      </c>
      <c r="D25" s="48">
        <v>45430</v>
      </c>
      <c r="E25" s="47" t="s">
        <v>40</v>
      </c>
      <c r="F25" s="10"/>
      <c r="H25" s="36"/>
      <c r="I25" s="37"/>
      <c r="J25" s="38"/>
      <c r="K25" s="39">
        <f t="shared" si="0"/>
        <v>0</v>
      </c>
    </row>
    <row r="26" spans="2:11" x14ac:dyDescent="0.35">
      <c r="B26" s="12" t="s">
        <v>13</v>
      </c>
      <c r="C26" s="49">
        <v>45433</v>
      </c>
      <c r="D26" s="49">
        <v>45433</v>
      </c>
      <c r="E26" s="47" t="s">
        <v>46</v>
      </c>
      <c r="F26" s="55" t="s">
        <v>42</v>
      </c>
      <c r="H26" s="36"/>
      <c r="I26" s="37"/>
      <c r="J26" s="38"/>
      <c r="K26" s="39">
        <f t="shared" si="0"/>
        <v>0</v>
      </c>
    </row>
    <row r="27" spans="2:11" x14ac:dyDescent="0.35">
      <c r="B27" s="12" t="s">
        <v>12</v>
      </c>
      <c r="C27" s="49">
        <v>45433</v>
      </c>
      <c r="D27" s="49">
        <v>45434</v>
      </c>
      <c r="E27" s="47" t="s">
        <v>39</v>
      </c>
      <c r="F27" s="55"/>
      <c r="H27" s="36"/>
      <c r="I27" s="37"/>
      <c r="J27" s="38"/>
      <c r="K27" s="39">
        <f t="shared" si="0"/>
        <v>0</v>
      </c>
    </row>
    <row r="28" spans="2:11" x14ac:dyDescent="0.35">
      <c r="B28" s="12" t="s">
        <v>14</v>
      </c>
      <c r="C28" s="48">
        <v>45435</v>
      </c>
      <c r="D28" s="48">
        <v>45435</v>
      </c>
      <c r="E28" s="47" t="s">
        <v>41</v>
      </c>
      <c r="F28" s="10"/>
      <c r="H28" s="36"/>
      <c r="I28" s="37"/>
      <c r="J28" s="38"/>
      <c r="K28" s="39"/>
    </row>
    <row r="29" spans="2:11" x14ac:dyDescent="0.35">
      <c r="B29" s="24"/>
      <c r="C29" s="16"/>
      <c r="D29" s="16"/>
      <c r="E29" s="16"/>
      <c r="F29" s="16"/>
      <c r="H29" s="35"/>
      <c r="I29" s="40"/>
      <c r="J29" s="41"/>
      <c r="K29" s="42">
        <f t="shared" si="0"/>
        <v>0</v>
      </c>
    </row>
    <row r="30" spans="2:11" x14ac:dyDescent="0.35">
      <c r="H30" s="26"/>
      <c r="I30" s="26"/>
      <c r="J30" s="26"/>
      <c r="K30" s="43"/>
    </row>
    <row r="31" spans="2:11" x14ac:dyDescent="0.35">
      <c r="H31" s="26"/>
      <c r="I31" s="26"/>
      <c r="J31" s="27" t="s">
        <v>23</v>
      </c>
      <c r="K31" s="44">
        <f>SUM(K10:K29)</f>
        <v>0</v>
      </c>
    </row>
    <row r="32" spans="2:11" x14ac:dyDescent="0.35">
      <c r="H32" s="26"/>
      <c r="I32" s="26"/>
      <c r="J32" s="27" t="s">
        <v>24</v>
      </c>
      <c r="K32" s="45"/>
    </row>
    <row r="33" spans="8:11" x14ac:dyDescent="0.35">
      <c r="H33" s="26"/>
      <c r="I33" s="26"/>
      <c r="J33" s="27" t="s">
        <v>25</v>
      </c>
      <c r="K33" s="46">
        <f>K31*(1+K32)</f>
        <v>0</v>
      </c>
    </row>
    <row r="36" spans="8:11" x14ac:dyDescent="0.35">
      <c r="J36" s="51" t="s">
        <v>30</v>
      </c>
      <c r="K36" s="52"/>
    </row>
    <row r="37" spans="8:11" x14ac:dyDescent="0.35">
      <c r="J37" s="28" t="s">
        <v>26</v>
      </c>
      <c r="K37" s="29"/>
    </row>
    <row r="38" spans="8:11" x14ac:dyDescent="0.35">
      <c r="J38" s="28" t="s">
        <v>27</v>
      </c>
      <c r="K38" s="29"/>
    </row>
    <row r="39" spans="8:11" x14ac:dyDescent="0.35">
      <c r="J39" s="28" t="s">
        <v>28</v>
      </c>
      <c r="K39" s="29"/>
    </row>
    <row r="40" spans="8:11" x14ac:dyDescent="0.35">
      <c r="J40" s="30" t="s">
        <v>29</v>
      </c>
      <c r="K40" s="31"/>
    </row>
  </sheetData>
  <mergeCells count="5">
    <mergeCell ref="H7:K7"/>
    <mergeCell ref="J36:K36"/>
    <mergeCell ref="C8:D8"/>
    <mergeCell ref="F21:F22"/>
    <mergeCell ref="F26:F2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 Padrão</dc:creator>
  <cp:lastModifiedBy>MARIA EDUARDA DA SILVA REIS</cp:lastModifiedBy>
  <dcterms:created xsi:type="dcterms:W3CDTF">2016-05-11T17:39:42Z</dcterms:created>
  <dcterms:modified xsi:type="dcterms:W3CDTF">2024-05-02T13:49:36Z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88b213ae-8a17-4ba3-9d27-e4f8164724f8</vt:lpwstr>
  </property>
</Properties>
</file>